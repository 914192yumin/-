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sw11\Downloads\"/>
    </mc:Choice>
  </mc:AlternateContent>
  <xr:revisionPtr revIDLastSave="0" documentId="13_ncr:1_{32F3A27E-1EBF-4411-B092-C226DDE3AD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醫師總表" sheetId="2" r:id="rId1"/>
    <sheet name="一線" sheetId="3" r:id="rId2"/>
    <sheet name="二線" sheetId="4" r:id="rId3"/>
    <sheet name="115年9月" sheetId="1" r:id="rId4"/>
  </sheets>
  <definedNames>
    <definedName name="_xlnm._FilterDatabase" localSheetId="3" hidden="1">'115年9月'!$A$1:$D$31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QCi3Qp3ad7N7FRxN1ah+VcPfN5JQXGJnJahiHsPYos="/>
    </ext>
  </extLst>
</workbook>
</file>

<file path=xl/calcChain.xml><?xml version="1.0" encoding="utf-8"?>
<calcChain xmlns="http://schemas.openxmlformats.org/spreadsheetml/2006/main">
  <c r="F31" i="1" l="1"/>
  <c r="E31" i="1"/>
  <c r="B31" i="1"/>
  <c r="F30" i="1"/>
  <c r="E30" i="1"/>
  <c r="B30" i="1"/>
  <c r="F29" i="1"/>
  <c r="E29" i="1"/>
  <c r="B29" i="1"/>
  <c r="F28" i="1"/>
  <c r="E28" i="1"/>
  <c r="B28" i="1"/>
  <c r="F27" i="1"/>
  <c r="E27" i="1"/>
  <c r="B27" i="1"/>
  <c r="F26" i="1"/>
  <c r="E26" i="1"/>
  <c r="B26" i="1"/>
  <c r="F25" i="1"/>
  <c r="E25" i="1"/>
  <c r="B25" i="1"/>
  <c r="F24" i="1"/>
  <c r="E24" i="1"/>
  <c r="B24" i="1"/>
  <c r="F23" i="1"/>
  <c r="E23" i="1"/>
  <c r="B23" i="1"/>
  <c r="F22" i="1"/>
  <c r="E22" i="1"/>
  <c r="B22" i="1"/>
  <c r="F21" i="1"/>
  <c r="E21" i="1"/>
  <c r="B21" i="1"/>
  <c r="F20" i="1"/>
  <c r="E20" i="1"/>
  <c r="B20" i="1"/>
  <c r="F19" i="1"/>
  <c r="E19" i="1"/>
  <c r="B19" i="1"/>
  <c r="F18" i="1"/>
  <c r="E18" i="1"/>
  <c r="B18" i="1"/>
  <c r="F17" i="1"/>
  <c r="E17" i="1"/>
  <c r="B17" i="1"/>
  <c r="F16" i="1"/>
  <c r="E16" i="1"/>
  <c r="B16" i="1"/>
  <c r="F15" i="1"/>
  <c r="E15" i="1"/>
  <c r="B15" i="1"/>
  <c r="F14" i="1"/>
  <c r="E14" i="1"/>
  <c r="B14" i="1"/>
  <c r="F13" i="1"/>
  <c r="E13" i="1"/>
  <c r="B13" i="1"/>
  <c r="F12" i="1"/>
  <c r="E12" i="1"/>
  <c r="B12" i="1"/>
  <c r="F11" i="1"/>
  <c r="E11" i="1"/>
  <c r="B11" i="1"/>
  <c r="F10" i="1"/>
  <c r="E10" i="1"/>
  <c r="B10" i="1"/>
  <c r="F9" i="1"/>
  <c r="E9" i="1"/>
  <c r="B9" i="1"/>
  <c r="F8" i="1"/>
  <c r="E8" i="1"/>
  <c r="B8" i="1"/>
  <c r="F7" i="1"/>
  <c r="E7" i="1"/>
  <c r="B7" i="1"/>
  <c r="F6" i="1"/>
  <c r="E6" i="1"/>
  <c r="B6" i="1"/>
  <c r="F5" i="1"/>
  <c r="E5" i="1"/>
  <c r="B5" i="1"/>
  <c r="F4" i="1"/>
  <c r="E4" i="1"/>
  <c r="B4" i="1"/>
  <c r="F3" i="1"/>
  <c r="E3" i="1"/>
  <c r="B3" i="1"/>
  <c r="F2" i="1"/>
  <c r="E2" i="1"/>
  <c r="B2" i="1"/>
</calcChain>
</file>

<file path=xl/sharedStrings.xml><?xml version="1.0" encoding="utf-8"?>
<sst xmlns="http://schemas.openxmlformats.org/spreadsheetml/2006/main" count="176" uniqueCount="77">
  <si>
    <t>日期</t>
  </si>
  <si>
    <t>姓名</t>
  </si>
  <si>
    <t>MVPN</t>
  </si>
  <si>
    <t>班表呈現</t>
  </si>
  <si>
    <t>蔡友倫</t>
  </si>
  <si>
    <t>班別</t>
  </si>
  <si>
    <t>蔡友倫679015</t>
  </si>
  <si>
    <t>徐智俊</t>
  </si>
  <si>
    <t>徐智俊678935</t>
  </si>
  <si>
    <t>星期</t>
  </si>
  <si>
    <t>李友夫</t>
  </si>
  <si>
    <t>李友夫678931</t>
  </si>
  <si>
    <t>左瑞龍</t>
  </si>
  <si>
    <t>左瑞龍678951</t>
  </si>
  <si>
    <t>黃裕涵</t>
  </si>
  <si>
    <t>黃裕涵679005</t>
  </si>
  <si>
    <t>平日應值班數</t>
  </si>
  <si>
    <t>假日應值班數</t>
  </si>
  <si>
    <t>林尚華</t>
  </si>
  <si>
    <t>固定值班星期</t>
  </si>
  <si>
    <t>林尚華678979</t>
  </si>
  <si>
    <t>排班規則</t>
  </si>
  <si>
    <t>林中華</t>
  </si>
  <si>
    <t>詹勳昊</t>
  </si>
  <si>
    <t>林中華678932</t>
  </si>
  <si>
    <t>詹勳昊678948</t>
  </si>
  <si>
    <t>李昱呈</t>
  </si>
  <si>
    <t>一線</t>
  </si>
  <si>
    <t>李昱呈678977</t>
  </si>
  <si>
    <t>黃芳專</t>
  </si>
  <si>
    <t>黃芳專678908</t>
  </si>
  <si>
    <t>林盟旗</t>
  </si>
  <si>
    <t>二線</t>
  </si>
  <si>
    <t>林盟旗679088</t>
  </si>
  <si>
    <t>一線MVPN</t>
  </si>
  <si>
    <t>星期一</t>
  </si>
  <si>
    <t>可優先挑選</t>
  </si>
  <si>
    <t>林佳正</t>
  </si>
  <si>
    <t>二線MVPN</t>
  </si>
  <si>
    <t>林佳正679060</t>
  </si>
  <si>
    <t>宋明憲</t>
  </si>
  <si>
    <t>星期五</t>
  </si>
  <si>
    <t>宋明憲678965</t>
  </si>
  <si>
    <t>何旭育</t>
  </si>
  <si>
    <t>何旭育679032</t>
  </si>
  <si>
    <t>林圻域</t>
  </si>
  <si>
    <t>星期日</t>
  </si>
  <si>
    <t>林圻域678954</t>
  </si>
  <si>
    <t>梁均瑜</t>
  </si>
  <si>
    <t>星期四</t>
  </si>
  <si>
    <t>梁均瑜668245</t>
  </si>
  <si>
    <t>吳宣翰</t>
  </si>
  <si>
    <t>吳宣翰679061</t>
  </si>
  <si>
    <t>陳建次</t>
  </si>
  <si>
    <t>陳建次667856</t>
  </si>
  <si>
    <t>黃民評</t>
  </si>
  <si>
    <t>黃民評679007</t>
  </si>
  <si>
    <t>陳耿彬</t>
  </si>
  <si>
    <t>陳耿彬679087</t>
  </si>
  <si>
    <t>蘇筠婷</t>
  </si>
  <si>
    <t>蘇筠婷679089</t>
  </si>
  <si>
    <t>詹鈞惟</t>
  </si>
  <si>
    <t>詹鈞惟678907</t>
  </si>
  <si>
    <t>陳儀聲</t>
  </si>
  <si>
    <t>陳儀聲678907</t>
  </si>
  <si>
    <t>林芳揚</t>
  </si>
  <si>
    <t>林芳揚679089</t>
  </si>
  <si>
    <t>李毓珊</t>
  </si>
  <si>
    <t>李毓珊678910</t>
  </si>
  <si>
    <t>星期二</t>
  </si>
  <si>
    <t>星期三</t>
  </si>
  <si>
    <t>二線平日假日均分</t>
  </si>
  <si>
    <t>排除星期二到星期五
二線平日假日均分</t>
  </si>
  <si>
    <t>醫師姓名</t>
    <phoneticPr fontId="10" type="noConversion"/>
  </si>
  <si>
    <t>雙數月份出現</t>
    <phoneticPr fontId="10" type="noConversion"/>
  </si>
  <si>
    <t>單數月份出現</t>
    <phoneticPr fontId="10" type="noConversion"/>
  </si>
  <si>
    <t>星期二、星期五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</si>
</sst>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1">
    <font>
      <sz val="12"/>
      <color theme="1"/>
      <name val="Calibri"/>
      <scheme val="minor"/>
    </font>
    <font>
      <sz val="14"/>
      <color rgb="FF000000"/>
      <name val="標楷體"/>
      <family val="4"/>
      <charset val="136"/>
    </font>
    <font>
      <sz val="13"/>
      <color rgb="FF000000"/>
      <name val="Microsoft JhengHei"/>
      <family val="2"/>
      <charset val="136"/>
    </font>
    <font>
      <b/>
      <sz val="14"/>
      <color theme="1"/>
      <name val="DFKai-SB"/>
      <family val="4"/>
      <charset val="136"/>
    </font>
    <font>
      <sz val="13"/>
      <color theme="1"/>
      <name val="Microsoft JhengHei"/>
      <family val="2"/>
      <charset val="136"/>
    </font>
    <font>
      <sz val="14"/>
      <color theme="1"/>
      <name val="DFKai-SB"/>
      <family val="4"/>
      <charset val="136"/>
    </font>
    <font>
      <sz val="12"/>
      <color theme="1"/>
      <name val="PMingLiu"/>
      <family val="1"/>
      <charset val="136"/>
    </font>
    <font>
      <sz val="12"/>
      <color theme="1"/>
      <name val="Calibri"/>
      <family val="2"/>
      <scheme val="minor"/>
    </font>
    <font>
      <sz val="14"/>
      <color rgb="FF000000"/>
      <name val="DFKai-SB"/>
      <family val="4"/>
      <charset val="136"/>
    </font>
    <font>
      <sz val="14"/>
      <color rgb="FFFF0000"/>
      <name val="DFKai-SB"/>
      <family val="4"/>
      <charset val="136"/>
    </font>
    <font>
      <sz val="9"/>
      <name val="Calibri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3"/>
  <sheetViews>
    <sheetView tabSelected="1" workbookViewId="0">
      <selection activeCell="G6" sqref="G6"/>
    </sheetView>
  </sheetViews>
  <sheetFormatPr defaultColWidth="11.19921875" defaultRowHeight="15" customHeight="1"/>
  <cols>
    <col min="2" max="2" width="9.3984375" bestFit="1" customWidth="1"/>
    <col min="3" max="3" width="14" customWidth="1"/>
    <col min="5" max="6" width="15.19921875" bestFit="1" customWidth="1"/>
    <col min="7" max="7" width="22.796875" bestFit="1" customWidth="1"/>
    <col min="8" max="8" width="41.5" bestFit="1" customWidth="1"/>
  </cols>
  <sheetData>
    <row r="1" spans="1:8">
      <c r="A1" s="2" t="s">
        <v>73</v>
      </c>
      <c r="B1" s="2" t="s">
        <v>2</v>
      </c>
      <c r="C1" s="2" t="s">
        <v>3</v>
      </c>
      <c r="D1" s="4" t="s">
        <v>5</v>
      </c>
      <c r="E1" s="4" t="s">
        <v>16</v>
      </c>
      <c r="F1" s="4" t="s">
        <v>17</v>
      </c>
      <c r="G1" s="4" t="s">
        <v>19</v>
      </c>
      <c r="H1" s="4" t="s">
        <v>21</v>
      </c>
    </row>
    <row r="2" spans="1:8">
      <c r="A2" s="2" t="s">
        <v>23</v>
      </c>
      <c r="B2" s="2">
        <v>678948</v>
      </c>
      <c r="C2" s="2" t="s">
        <v>25</v>
      </c>
      <c r="D2" s="4" t="s">
        <v>27</v>
      </c>
      <c r="E2" s="4">
        <v>1</v>
      </c>
      <c r="F2" s="4"/>
      <c r="G2" s="4" t="s">
        <v>35</v>
      </c>
      <c r="H2" s="4" t="s">
        <v>36</v>
      </c>
    </row>
    <row r="3" spans="1:8">
      <c r="A3" s="2" t="s">
        <v>26</v>
      </c>
      <c r="B3" s="2">
        <v>678977</v>
      </c>
      <c r="C3" s="2" t="s">
        <v>28</v>
      </c>
      <c r="D3" s="4" t="s">
        <v>27</v>
      </c>
      <c r="E3" s="4">
        <v>1</v>
      </c>
      <c r="F3" s="4"/>
      <c r="G3" s="4" t="s">
        <v>41</v>
      </c>
      <c r="H3" s="4" t="s">
        <v>36</v>
      </c>
    </row>
    <row r="4" spans="1:8">
      <c r="A4" s="2" t="s">
        <v>29</v>
      </c>
      <c r="B4" s="2">
        <v>678908</v>
      </c>
      <c r="C4" s="2" t="s">
        <v>30</v>
      </c>
      <c r="D4" s="4" t="s">
        <v>27</v>
      </c>
      <c r="E4" s="4"/>
      <c r="F4" s="4">
        <v>1</v>
      </c>
      <c r="G4" s="4" t="s">
        <v>46</v>
      </c>
      <c r="H4" s="4"/>
    </row>
    <row r="5" spans="1:8">
      <c r="A5" s="2" t="s">
        <v>31</v>
      </c>
      <c r="B5" s="2">
        <v>679088</v>
      </c>
      <c r="C5" s="2" t="s">
        <v>33</v>
      </c>
      <c r="D5" s="4" t="s">
        <v>27</v>
      </c>
      <c r="E5" s="4">
        <v>1</v>
      </c>
      <c r="F5" s="4"/>
      <c r="G5" s="4" t="s">
        <v>49</v>
      </c>
      <c r="H5" s="4"/>
    </row>
    <row r="6" spans="1:8">
      <c r="A6" s="2" t="s">
        <v>37</v>
      </c>
      <c r="B6" s="2">
        <v>679060</v>
      </c>
      <c r="C6" s="2" t="s">
        <v>39</v>
      </c>
      <c r="D6" s="4" t="s">
        <v>27</v>
      </c>
      <c r="E6" s="4">
        <v>3</v>
      </c>
      <c r="F6" s="4"/>
      <c r="G6" s="16" t="s">
        <v>76</v>
      </c>
      <c r="H6" s="4" t="s">
        <v>36</v>
      </c>
    </row>
    <row r="7" spans="1:8">
      <c r="A7" s="2" t="s">
        <v>40</v>
      </c>
      <c r="B7" s="2">
        <v>678965</v>
      </c>
      <c r="C7" s="2" t="s">
        <v>42</v>
      </c>
      <c r="D7" s="4" t="s">
        <v>27</v>
      </c>
      <c r="E7" s="4">
        <v>1</v>
      </c>
      <c r="F7" s="4">
        <v>1</v>
      </c>
      <c r="G7" s="4"/>
      <c r="H7" s="4"/>
    </row>
    <row r="8" spans="1:8">
      <c r="A8" s="2" t="s">
        <v>43</v>
      </c>
      <c r="B8" s="2">
        <v>679032</v>
      </c>
      <c r="C8" s="2" t="s">
        <v>44</v>
      </c>
      <c r="D8" s="4" t="s">
        <v>27</v>
      </c>
      <c r="E8" s="4">
        <v>1</v>
      </c>
      <c r="F8" s="4">
        <v>1</v>
      </c>
      <c r="G8" s="4"/>
      <c r="H8" s="4"/>
    </row>
    <row r="9" spans="1:8">
      <c r="A9" s="2" t="s">
        <v>45</v>
      </c>
      <c r="B9" s="2">
        <v>678954</v>
      </c>
      <c r="C9" s="2" t="s">
        <v>47</v>
      </c>
      <c r="D9" s="4" t="s">
        <v>27</v>
      </c>
      <c r="E9" s="4">
        <v>1</v>
      </c>
      <c r="F9" s="4"/>
      <c r="G9" s="4" t="s">
        <v>69</v>
      </c>
      <c r="H9" s="4"/>
    </row>
    <row r="10" spans="1:8">
      <c r="A10" s="2" t="s">
        <v>48</v>
      </c>
      <c r="B10" s="2">
        <v>668245</v>
      </c>
      <c r="C10" s="2" t="s">
        <v>50</v>
      </c>
      <c r="D10" s="4" t="s">
        <v>27</v>
      </c>
      <c r="E10" s="4">
        <v>2</v>
      </c>
      <c r="F10" s="4"/>
      <c r="G10" s="4" t="s">
        <v>70</v>
      </c>
      <c r="H10" s="4"/>
    </row>
    <row r="11" spans="1:8">
      <c r="A11" s="2" t="s">
        <v>51</v>
      </c>
      <c r="B11" s="2">
        <v>679061</v>
      </c>
      <c r="C11" s="2" t="s">
        <v>52</v>
      </c>
      <c r="D11" s="4" t="s">
        <v>27</v>
      </c>
      <c r="E11" s="4">
        <v>1</v>
      </c>
      <c r="F11" s="4">
        <v>1</v>
      </c>
      <c r="G11" s="4"/>
      <c r="H11" s="4"/>
    </row>
    <row r="12" spans="1:8">
      <c r="A12" s="2" t="s">
        <v>53</v>
      </c>
      <c r="B12" s="2">
        <v>667856</v>
      </c>
      <c r="C12" s="2" t="s">
        <v>54</v>
      </c>
      <c r="D12" s="4" t="s">
        <v>27</v>
      </c>
      <c r="E12" s="4">
        <v>1</v>
      </c>
      <c r="F12" s="4"/>
      <c r="G12" s="4" t="s">
        <v>41</v>
      </c>
      <c r="H12" s="4"/>
    </row>
    <row r="13" spans="1:8">
      <c r="A13" s="2" t="s">
        <v>55</v>
      </c>
      <c r="B13" s="2">
        <v>679007</v>
      </c>
      <c r="C13" s="2" t="s">
        <v>56</v>
      </c>
      <c r="D13" s="4" t="s">
        <v>27</v>
      </c>
      <c r="E13" s="4">
        <v>1</v>
      </c>
      <c r="F13" s="4"/>
      <c r="G13" s="4" t="s">
        <v>69</v>
      </c>
      <c r="H13" s="4"/>
    </row>
    <row r="14" spans="1:8">
      <c r="A14" s="2" t="s">
        <v>61</v>
      </c>
      <c r="B14" s="2">
        <v>678907</v>
      </c>
      <c r="C14" s="2" t="s">
        <v>62</v>
      </c>
      <c r="D14" s="4" t="s">
        <v>27</v>
      </c>
      <c r="E14" s="4">
        <v>1</v>
      </c>
      <c r="F14" s="4">
        <v>1</v>
      </c>
      <c r="G14" s="4" t="s">
        <v>46</v>
      </c>
      <c r="H14" s="4" t="s">
        <v>75</v>
      </c>
    </row>
    <row r="15" spans="1:8">
      <c r="A15" s="2" t="s">
        <v>63</v>
      </c>
      <c r="B15" s="2">
        <v>678907</v>
      </c>
      <c r="C15" s="2" t="s">
        <v>64</v>
      </c>
      <c r="D15" s="4" t="s">
        <v>27</v>
      </c>
      <c r="E15" s="4">
        <v>1</v>
      </c>
      <c r="F15" s="4">
        <v>1</v>
      </c>
      <c r="G15" s="4" t="s">
        <v>46</v>
      </c>
      <c r="H15" s="4" t="s">
        <v>74</v>
      </c>
    </row>
    <row r="16" spans="1:8">
      <c r="A16" s="2" t="s">
        <v>65</v>
      </c>
      <c r="B16" s="2">
        <v>679089</v>
      </c>
      <c r="C16" s="2" t="s">
        <v>66</v>
      </c>
      <c r="D16" s="4" t="s">
        <v>27</v>
      </c>
      <c r="E16" s="4">
        <v>2</v>
      </c>
      <c r="F16" s="4">
        <v>1</v>
      </c>
      <c r="G16" s="4"/>
      <c r="H16" s="4"/>
    </row>
    <row r="17" spans="1:8">
      <c r="A17" s="2" t="s">
        <v>67</v>
      </c>
      <c r="B17" s="2">
        <v>678910</v>
      </c>
      <c r="C17" s="2" t="s">
        <v>68</v>
      </c>
      <c r="D17" s="4" t="s">
        <v>27</v>
      </c>
      <c r="E17" s="4">
        <v>1</v>
      </c>
      <c r="F17" s="4">
        <v>1</v>
      </c>
      <c r="G17" s="4"/>
      <c r="H17" s="4"/>
    </row>
    <row r="18" spans="1:8">
      <c r="A18" s="2" t="s">
        <v>4</v>
      </c>
      <c r="B18" s="2">
        <v>679015</v>
      </c>
      <c r="C18" s="2" t="s">
        <v>6</v>
      </c>
      <c r="D18" s="4" t="s">
        <v>32</v>
      </c>
      <c r="E18" s="4"/>
      <c r="F18" s="4"/>
      <c r="G18" s="4"/>
      <c r="H18" s="4" t="s">
        <v>71</v>
      </c>
    </row>
    <row r="19" spans="1:8">
      <c r="A19" s="2" t="s">
        <v>7</v>
      </c>
      <c r="B19" s="2">
        <v>678935</v>
      </c>
      <c r="C19" s="2" t="s">
        <v>8</v>
      </c>
      <c r="D19" s="4" t="s">
        <v>32</v>
      </c>
      <c r="E19" s="4"/>
      <c r="F19" s="4"/>
      <c r="G19" s="4"/>
      <c r="H19" s="4" t="s">
        <v>71</v>
      </c>
    </row>
    <row r="20" spans="1:8">
      <c r="A20" s="2" t="s">
        <v>10</v>
      </c>
      <c r="B20" s="2">
        <v>678931</v>
      </c>
      <c r="C20" s="2" t="s">
        <v>11</v>
      </c>
      <c r="D20" s="4" t="s">
        <v>32</v>
      </c>
      <c r="E20" s="4"/>
      <c r="F20" s="4"/>
      <c r="G20" s="4"/>
      <c r="H20" s="4" t="s">
        <v>72</v>
      </c>
    </row>
    <row r="21" spans="1:8">
      <c r="A21" s="2" t="s">
        <v>14</v>
      </c>
      <c r="B21" s="2">
        <v>679005</v>
      </c>
      <c r="C21" s="2" t="s">
        <v>15</v>
      </c>
      <c r="D21" s="4" t="s">
        <v>32</v>
      </c>
      <c r="E21" s="4"/>
      <c r="F21" s="4"/>
      <c r="G21" s="4"/>
      <c r="H21" s="4" t="s">
        <v>71</v>
      </c>
    </row>
    <row r="22" spans="1:8">
      <c r="A22" s="2" t="s">
        <v>18</v>
      </c>
      <c r="B22" s="2">
        <v>678979</v>
      </c>
      <c r="C22" s="2" t="s">
        <v>20</v>
      </c>
      <c r="D22" s="4" t="s">
        <v>32</v>
      </c>
      <c r="E22" s="4">
        <v>1</v>
      </c>
      <c r="F22" s="4"/>
      <c r="G22" s="4"/>
      <c r="H22" s="4"/>
    </row>
    <row r="23" spans="1:8">
      <c r="A23" s="2" t="s">
        <v>22</v>
      </c>
      <c r="B23" s="2">
        <v>678932</v>
      </c>
      <c r="C23" s="2" t="s">
        <v>24</v>
      </c>
      <c r="D23" s="4" t="s">
        <v>32</v>
      </c>
      <c r="E23" s="4">
        <v>1</v>
      </c>
      <c r="F23" s="4"/>
      <c r="G23" s="4"/>
      <c r="H23" s="4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9"/>
  <sheetViews>
    <sheetView workbookViewId="0"/>
  </sheetViews>
  <sheetFormatPr defaultColWidth="11.19921875" defaultRowHeight="15" customHeight="1"/>
  <cols>
    <col min="3" max="3" width="1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 s="1" t="s">
        <v>23</v>
      </c>
      <c r="B2" s="1">
        <v>678948</v>
      </c>
      <c r="C2" s="1" t="s">
        <v>25</v>
      </c>
    </row>
    <row r="3" spans="1:3">
      <c r="A3" s="1" t="s">
        <v>26</v>
      </c>
      <c r="B3" s="1">
        <v>678977</v>
      </c>
      <c r="C3" s="1" t="s">
        <v>28</v>
      </c>
    </row>
    <row r="4" spans="1:3">
      <c r="A4" s="1" t="s">
        <v>29</v>
      </c>
      <c r="B4" s="1">
        <v>678908</v>
      </c>
      <c r="C4" s="1" t="s">
        <v>30</v>
      </c>
    </row>
    <row r="5" spans="1:3">
      <c r="A5" s="1" t="s">
        <v>31</v>
      </c>
      <c r="B5" s="1">
        <v>679088</v>
      </c>
      <c r="C5" s="1" t="s">
        <v>33</v>
      </c>
    </row>
    <row r="6" spans="1:3">
      <c r="A6" s="1" t="s">
        <v>37</v>
      </c>
      <c r="B6" s="1">
        <v>679060</v>
      </c>
      <c r="C6" s="1" t="s">
        <v>39</v>
      </c>
    </row>
    <row r="7" spans="1:3">
      <c r="A7" s="1" t="s">
        <v>40</v>
      </c>
      <c r="B7" s="1">
        <v>678965</v>
      </c>
      <c r="C7" s="1" t="s">
        <v>42</v>
      </c>
    </row>
    <row r="8" spans="1:3">
      <c r="A8" s="1" t="s">
        <v>43</v>
      </c>
      <c r="B8" s="1">
        <v>679032</v>
      </c>
      <c r="C8" s="1" t="s">
        <v>44</v>
      </c>
    </row>
    <row r="9" spans="1:3">
      <c r="A9" s="1" t="s">
        <v>45</v>
      </c>
      <c r="B9" s="1">
        <v>678954</v>
      </c>
      <c r="C9" s="1" t="s">
        <v>47</v>
      </c>
    </row>
    <row r="10" spans="1:3">
      <c r="A10" s="1" t="s">
        <v>48</v>
      </c>
      <c r="B10" s="1">
        <v>668245</v>
      </c>
      <c r="C10" s="1" t="s">
        <v>50</v>
      </c>
    </row>
    <row r="11" spans="1:3">
      <c r="A11" s="1" t="s">
        <v>51</v>
      </c>
      <c r="B11" s="1">
        <v>679061</v>
      </c>
      <c r="C11" s="1" t="s">
        <v>52</v>
      </c>
    </row>
    <row r="12" spans="1:3">
      <c r="A12" s="1" t="s">
        <v>53</v>
      </c>
      <c r="B12" s="1">
        <v>667856</v>
      </c>
      <c r="C12" s="1" t="s">
        <v>54</v>
      </c>
    </row>
    <row r="13" spans="1:3">
      <c r="A13" s="1" t="s">
        <v>55</v>
      </c>
      <c r="B13" s="1">
        <v>679007</v>
      </c>
      <c r="C13" s="1" t="s">
        <v>56</v>
      </c>
    </row>
    <row r="14" spans="1:3">
      <c r="A14" s="1" t="s">
        <v>57</v>
      </c>
      <c r="B14" s="1">
        <v>679087</v>
      </c>
      <c r="C14" s="1" t="s">
        <v>58</v>
      </c>
    </row>
    <row r="15" spans="1:3">
      <c r="A15" s="1" t="s">
        <v>59</v>
      </c>
      <c r="B15" s="1">
        <v>679089</v>
      </c>
      <c r="C15" s="1" t="s">
        <v>60</v>
      </c>
    </row>
    <row r="16" spans="1:3">
      <c r="A16" s="1" t="s">
        <v>61</v>
      </c>
      <c r="B16" s="1">
        <v>678907</v>
      </c>
      <c r="C16" s="1" t="s">
        <v>62</v>
      </c>
    </row>
    <row r="17" spans="1:3">
      <c r="A17" s="1" t="s">
        <v>63</v>
      </c>
      <c r="B17" s="1">
        <v>678907</v>
      </c>
      <c r="C17" s="1" t="s">
        <v>64</v>
      </c>
    </row>
    <row r="18" spans="1:3">
      <c r="A18" s="1" t="s">
        <v>65</v>
      </c>
      <c r="B18" s="1">
        <v>679089</v>
      </c>
      <c r="C18" s="1" t="s">
        <v>66</v>
      </c>
    </row>
    <row r="19" spans="1:3">
      <c r="A19" s="1" t="s">
        <v>67</v>
      </c>
      <c r="B19" s="1">
        <v>678910</v>
      </c>
      <c r="C19" s="1" t="s">
        <v>68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8"/>
  <sheetViews>
    <sheetView workbookViewId="0"/>
  </sheetViews>
  <sheetFormatPr defaultColWidth="11.19921875" defaultRowHeight="15" customHeight="1"/>
  <cols>
    <col min="3" max="3" width="1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 s="1" t="s">
        <v>4</v>
      </c>
      <c r="B2" s="1">
        <v>679015</v>
      </c>
      <c r="C2" s="1" t="s">
        <v>6</v>
      </c>
    </row>
    <row r="3" spans="1:3">
      <c r="A3" s="1" t="s">
        <v>7</v>
      </c>
      <c r="B3" s="1">
        <v>678935</v>
      </c>
      <c r="C3" s="1" t="s">
        <v>8</v>
      </c>
    </row>
    <row r="4" spans="1:3">
      <c r="A4" s="1" t="s">
        <v>10</v>
      </c>
      <c r="B4" s="1">
        <v>678931</v>
      </c>
      <c r="C4" s="1" t="s">
        <v>11</v>
      </c>
    </row>
    <row r="5" spans="1:3">
      <c r="A5" s="1" t="s">
        <v>12</v>
      </c>
      <c r="B5" s="1">
        <v>678951</v>
      </c>
      <c r="C5" s="1" t="s">
        <v>13</v>
      </c>
    </row>
    <row r="6" spans="1:3">
      <c r="A6" s="1" t="s">
        <v>14</v>
      </c>
      <c r="B6" s="1">
        <v>679005</v>
      </c>
      <c r="C6" s="1" t="s">
        <v>15</v>
      </c>
    </row>
    <row r="7" spans="1:3">
      <c r="A7" s="1" t="s">
        <v>18</v>
      </c>
      <c r="B7" s="1">
        <v>678979</v>
      </c>
      <c r="C7" s="1" t="s">
        <v>20</v>
      </c>
    </row>
    <row r="8" spans="1:3">
      <c r="A8" s="1" t="s">
        <v>22</v>
      </c>
      <c r="B8" s="1">
        <v>678932</v>
      </c>
      <c r="C8" s="1" t="s">
        <v>24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1.19921875" defaultRowHeight="15" customHeight="1"/>
  <cols>
    <col min="1" max="3" width="6.796875" customWidth="1"/>
    <col min="4" max="4" width="7.19921875" customWidth="1"/>
    <col min="5" max="5" width="11.59765625" customWidth="1"/>
    <col min="6" max="6" width="11.69921875" customWidth="1"/>
    <col min="7" max="26" width="6.796875" customWidth="1"/>
  </cols>
  <sheetData>
    <row r="1" spans="1:6" ht="15.75" customHeight="1">
      <c r="A1" s="3" t="s">
        <v>0</v>
      </c>
      <c r="B1" s="5" t="s">
        <v>9</v>
      </c>
      <c r="C1" s="6" t="s">
        <v>27</v>
      </c>
      <c r="D1" s="6" t="s">
        <v>32</v>
      </c>
      <c r="E1" s="7" t="s">
        <v>34</v>
      </c>
      <c r="F1" s="7" t="s">
        <v>38</v>
      </c>
    </row>
    <row r="2" spans="1:6" ht="15.75" customHeight="1">
      <c r="A2" s="8">
        <v>46266</v>
      </c>
      <c r="B2" s="6" t="str">
        <f t="shared" ref="B2:B31" si="0">+IF(A2="","",CHOOSE(WEEKDAY(A2,1),"星期日","星期一","星期二","星期三","星期四","星期五","星期六"))</f>
        <v>星期二</v>
      </c>
      <c r="C2" s="6" t="s">
        <v>67</v>
      </c>
      <c r="D2" s="6"/>
      <c r="E2" s="7" t="str">
        <f>VLOOKUP(C2,一線!$A:$C,3,0)</f>
        <v>李毓珊678910</v>
      </c>
      <c r="F2" s="9" t="e">
        <f>VLOOKUP(D2,二線!$A:$C,3,0)</f>
        <v>#N/A</v>
      </c>
    </row>
    <row r="3" spans="1:6" ht="15.75" customHeight="1">
      <c r="A3" s="8">
        <v>46267</v>
      </c>
      <c r="B3" s="10" t="str">
        <f t="shared" si="0"/>
        <v>星期三</v>
      </c>
      <c r="C3" s="11" t="s">
        <v>48</v>
      </c>
      <c r="D3" s="6"/>
      <c r="E3" s="7" t="str">
        <f>VLOOKUP(C3,一線!$A:$C,3,0)</f>
        <v>梁均瑜668245</v>
      </c>
      <c r="F3" s="9" t="e">
        <f>VLOOKUP(D3,二線!$A:$C,3,0)</f>
        <v>#N/A</v>
      </c>
    </row>
    <row r="4" spans="1:6" ht="19.5" customHeight="1">
      <c r="A4" s="8">
        <v>46268</v>
      </c>
      <c r="B4" s="10" t="str">
        <f t="shared" si="0"/>
        <v>星期四</v>
      </c>
      <c r="C4" s="6"/>
      <c r="D4" s="6"/>
      <c r="E4" s="7" t="e">
        <f>VLOOKUP(C4,一線!$A:$C,3,0)</f>
        <v>#N/A</v>
      </c>
      <c r="F4" s="9" t="e">
        <f>VLOOKUP(D4,二線!$A:$C,3,0)</f>
        <v>#N/A</v>
      </c>
    </row>
    <row r="5" spans="1:6" ht="15.75" customHeight="1">
      <c r="A5" s="8">
        <v>46269</v>
      </c>
      <c r="B5" s="6" t="str">
        <f t="shared" si="0"/>
        <v>星期五</v>
      </c>
      <c r="C5" s="6" t="s">
        <v>37</v>
      </c>
      <c r="D5" s="6"/>
      <c r="E5" s="7" t="str">
        <f>VLOOKUP(C5,一線!$A:$C,3,0)</f>
        <v>林佳正679060</v>
      </c>
      <c r="F5" s="9" t="e">
        <f>VLOOKUP(D5,二線!$A:$C,3,0)</f>
        <v>#N/A</v>
      </c>
    </row>
    <row r="6" spans="1:6" ht="15.75" customHeight="1">
      <c r="A6" s="8">
        <v>46270</v>
      </c>
      <c r="B6" s="10" t="str">
        <f t="shared" si="0"/>
        <v>星期六</v>
      </c>
      <c r="C6" s="10" t="s">
        <v>43</v>
      </c>
      <c r="D6" s="12"/>
      <c r="E6" s="7" t="str">
        <f>VLOOKUP(C6,一線!$A:$C,3,0)</f>
        <v>何旭育679032</v>
      </c>
      <c r="F6" s="9" t="e">
        <f>VLOOKUP(D6,二線!$A:$C,3,0)</f>
        <v>#N/A</v>
      </c>
    </row>
    <row r="7" spans="1:6" ht="15.75" customHeight="1">
      <c r="A7" s="8">
        <v>46271</v>
      </c>
      <c r="B7" s="6" t="str">
        <f t="shared" si="0"/>
        <v>星期日</v>
      </c>
      <c r="C7" s="10"/>
      <c r="D7" s="6"/>
      <c r="E7" s="7" t="e">
        <f>VLOOKUP(C7,一線!$A:$C,3,0)</f>
        <v>#N/A</v>
      </c>
      <c r="F7" s="9" t="e">
        <f>VLOOKUP(D7,二線!$A:$C,3,0)</f>
        <v>#N/A</v>
      </c>
    </row>
    <row r="8" spans="1:6" ht="15.75" customHeight="1">
      <c r="A8" s="8">
        <v>46272</v>
      </c>
      <c r="B8" s="6" t="str">
        <f t="shared" si="0"/>
        <v>星期一</v>
      </c>
      <c r="C8" s="6" t="s">
        <v>23</v>
      </c>
      <c r="D8" s="6"/>
      <c r="E8" s="7" t="str">
        <f>VLOOKUP(C8,一線!$A:$C,3,0)</f>
        <v>詹勳昊678948</v>
      </c>
      <c r="F8" s="9" t="e">
        <f>VLOOKUP(D8,二線!$A:$C,3,0)</f>
        <v>#N/A</v>
      </c>
    </row>
    <row r="9" spans="1:6" ht="15.75" customHeight="1">
      <c r="A9" s="8">
        <v>46273</v>
      </c>
      <c r="B9" s="6" t="str">
        <f t="shared" si="0"/>
        <v>星期二</v>
      </c>
      <c r="C9" s="10" t="s">
        <v>45</v>
      </c>
      <c r="D9" s="6"/>
      <c r="E9" s="7" t="str">
        <f>VLOOKUP(C9,一線!$A:$C,3,0)</f>
        <v>林圻域678954</v>
      </c>
      <c r="F9" s="9" t="e">
        <f>VLOOKUP(D9,二線!$A:$C,3,0)</f>
        <v>#N/A</v>
      </c>
    </row>
    <row r="10" spans="1:6" ht="15.75" customHeight="1">
      <c r="A10" s="8">
        <v>46274</v>
      </c>
      <c r="B10" s="10" t="str">
        <f t="shared" si="0"/>
        <v>星期三</v>
      </c>
      <c r="C10" s="13" t="s">
        <v>48</v>
      </c>
      <c r="D10" s="6"/>
      <c r="E10" s="7" t="str">
        <f>VLOOKUP(C10,一線!$A:$C,3,0)</f>
        <v>梁均瑜668245</v>
      </c>
      <c r="F10" s="9" t="e">
        <f>VLOOKUP(D10,二線!$A:$C,3,0)</f>
        <v>#N/A</v>
      </c>
    </row>
    <row r="11" spans="1:6" ht="15.75" customHeight="1">
      <c r="A11" s="8">
        <v>46275</v>
      </c>
      <c r="B11" s="6" t="str">
        <f t="shared" si="0"/>
        <v>星期四</v>
      </c>
      <c r="C11" s="6" t="s">
        <v>31</v>
      </c>
      <c r="D11" s="14"/>
      <c r="E11" s="7" t="str">
        <f>VLOOKUP(C11,一線!$A:$C,3,0)</f>
        <v>林盟旗679088</v>
      </c>
      <c r="F11" s="9" t="e">
        <f>VLOOKUP(D11,二線!$A:$C,3,0)</f>
        <v>#N/A</v>
      </c>
    </row>
    <row r="12" spans="1:6" ht="15.75" customHeight="1">
      <c r="A12" s="8">
        <v>46276</v>
      </c>
      <c r="B12" s="10" t="str">
        <f t="shared" si="0"/>
        <v>星期五</v>
      </c>
      <c r="C12" s="6" t="s">
        <v>53</v>
      </c>
      <c r="D12" s="6"/>
      <c r="E12" s="7" t="str">
        <f>VLOOKUP(C12,一線!$A:$C,3,0)</f>
        <v>陳建次667856</v>
      </c>
      <c r="F12" s="9" t="e">
        <f>VLOOKUP(D12,二線!$A:$C,3,0)</f>
        <v>#N/A</v>
      </c>
    </row>
    <row r="13" spans="1:6" ht="15.75" customHeight="1">
      <c r="A13" s="8">
        <v>46277</v>
      </c>
      <c r="B13" s="6" t="str">
        <f t="shared" si="0"/>
        <v>星期六</v>
      </c>
      <c r="C13" s="6"/>
      <c r="D13" s="6"/>
      <c r="E13" s="7" t="e">
        <f>VLOOKUP(C13,一線!$A:$C,3,0)</f>
        <v>#N/A</v>
      </c>
      <c r="F13" s="9" t="e">
        <f>VLOOKUP(D13,二線!$A:$C,3,0)</f>
        <v>#N/A</v>
      </c>
    </row>
    <row r="14" spans="1:6" ht="15.75" customHeight="1">
      <c r="A14" s="8">
        <v>46278</v>
      </c>
      <c r="B14" s="6" t="str">
        <f t="shared" si="0"/>
        <v>星期日</v>
      </c>
      <c r="C14" s="6" t="s">
        <v>29</v>
      </c>
      <c r="D14" s="6"/>
      <c r="E14" s="7" t="str">
        <f>VLOOKUP(C14,一線!$A:$C,3,0)</f>
        <v>黃芳專678908</v>
      </c>
      <c r="F14" s="9" t="e">
        <f>VLOOKUP(D14,二線!$A:$C,3,0)</f>
        <v>#N/A</v>
      </c>
    </row>
    <row r="15" spans="1:6" ht="15.75" customHeight="1">
      <c r="A15" s="8">
        <v>46279</v>
      </c>
      <c r="B15" s="10" t="str">
        <f t="shared" si="0"/>
        <v>星期一</v>
      </c>
      <c r="C15" s="10" t="s">
        <v>43</v>
      </c>
      <c r="D15" s="6"/>
      <c r="E15" s="7" t="str">
        <f>VLOOKUP(C15,一線!$A:$C,3,0)</f>
        <v>何旭育679032</v>
      </c>
      <c r="F15" s="9" t="e">
        <f>VLOOKUP(D15,二線!$A:$C,3,0)</f>
        <v>#N/A</v>
      </c>
    </row>
    <row r="16" spans="1:6" ht="15.75" customHeight="1">
      <c r="A16" s="8">
        <v>46280</v>
      </c>
      <c r="B16" s="6" t="str">
        <f t="shared" si="0"/>
        <v>星期二</v>
      </c>
      <c r="C16" s="6" t="s">
        <v>55</v>
      </c>
      <c r="D16" s="6"/>
      <c r="E16" s="7" t="str">
        <f>VLOOKUP(C16,一線!$A:$C,3,0)</f>
        <v>黃民評679007</v>
      </c>
      <c r="F16" s="9" t="e">
        <f>VLOOKUP(D16,二線!$A:$C,3,0)</f>
        <v>#N/A</v>
      </c>
    </row>
    <row r="17" spans="1:6" ht="15.75" customHeight="1">
      <c r="A17" s="8">
        <v>46281</v>
      </c>
      <c r="B17" s="6" t="str">
        <f t="shared" si="0"/>
        <v>星期三</v>
      </c>
      <c r="C17" s="13" t="s">
        <v>48</v>
      </c>
      <c r="D17" s="6"/>
      <c r="E17" s="7" t="str">
        <f>VLOOKUP(C17,一線!$A:$C,3,0)</f>
        <v>梁均瑜668245</v>
      </c>
      <c r="F17" s="9" t="e">
        <f>VLOOKUP(D17,二線!$A:$C,3,0)</f>
        <v>#N/A</v>
      </c>
    </row>
    <row r="18" spans="1:6" ht="15.75" customHeight="1">
      <c r="A18" s="8">
        <v>46282</v>
      </c>
      <c r="B18" s="10" t="str">
        <f t="shared" si="0"/>
        <v>星期四</v>
      </c>
      <c r="C18" s="15" t="s">
        <v>31</v>
      </c>
      <c r="D18" s="6"/>
      <c r="E18" s="7" t="str">
        <f>VLOOKUP(C18,一線!$A:$C,3,0)</f>
        <v>林盟旗679088</v>
      </c>
      <c r="F18" s="9" t="e">
        <f>VLOOKUP(D18,二線!$A:$C,3,0)</f>
        <v>#N/A</v>
      </c>
    </row>
    <row r="19" spans="1:6" ht="15.75" customHeight="1">
      <c r="A19" s="8">
        <v>46283</v>
      </c>
      <c r="B19" s="6" t="str">
        <f t="shared" si="0"/>
        <v>星期五</v>
      </c>
      <c r="C19" s="6" t="s">
        <v>37</v>
      </c>
      <c r="D19" s="6"/>
      <c r="E19" s="7" t="str">
        <f>VLOOKUP(C19,一線!$A:$C,3,0)</f>
        <v>林佳正679060</v>
      </c>
      <c r="F19" s="9" t="e">
        <f>VLOOKUP(D19,二線!$A:$C,3,0)</f>
        <v>#N/A</v>
      </c>
    </row>
    <row r="20" spans="1:6" ht="15.75" customHeight="1">
      <c r="A20" s="8">
        <v>46284</v>
      </c>
      <c r="B20" s="6" t="str">
        <f t="shared" si="0"/>
        <v>星期六</v>
      </c>
      <c r="C20" s="10"/>
      <c r="D20" s="6"/>
      <c r="E20" s="7" t="e">
        <f>VLOOKUP(C20,一線!$A:$C,3,0)</f>
        <v>#N/A</v>
      </c>
      <c r="F20" s="9" t="e">
        <f>VLOOKUP(D20,二線!$A:$C,3,0)</f>
        <v>#N/A</v>
      </c>
    </row>
    <row r="21" spans="1:6" ht="15.75" customHeight="1">
      <c r="A21" s="8">
        <v>46285</v>
      </c>
      <c r="B21" s="6" t="str">
        <f t="shared" si="0"/>
        <v>星期日</v>
      </c>
      <c r="C21" s="6"/>
      <c r="D21" s="6"/>
      <c r="E21" s="7" t="e">
        <f>VLOOKUP(C21,一線!$A:$C,3,0)</f>
        <v>#N/A</v>
      </c>
      <c r="F21" s="9" t="e">
        <f>VLOOKUP(D21,二線!$A:$C,3,0)</f>
        <v>#N/A</v>
      </c>
    </row>
    <row r="22" spans="1:6" ht="15.75" customHeight="1">
      <c r="A22" s="8">
        <v>46286</v>
      </c>
      <c r="B22" s="6" t="str">
        <f t="shared" si="0"/>
        <v>星期一</v>
      </c>
      <c r="C22" s="6"/>
      <c r="D22" s="6" t="s">
        <v>18</v>
      </c>
      <c r="E22" s="7" t="e">
        <f>VLOOKUP(C22,一線!$A:$C,3,0)</f>
        <v>#N/A</v>
      </c>
      <c r="F22" s="9" t="str">
        <f>VLOOKUP(D22,二線!$A:$C,3,0)</f>
        <v>林尚華678979</v>
      </c>
    </row>
    <row r="23" spans="1:6" ht="15.75" customHeight="1">
      <c r="A23" s="8">
        <v>46287</v>
      </c>
      <c r="B23" s="6" t="str">
        <f t="shared" si="0"/>
        <v>星期二</v>
      </c>
      <c r="C23" s="10" t="s">
        <v>37</v>
      </c>
      <c r="D23" s="6"/>
      <c r="E23" s="7" t="str">
        <f>VLOOKUP(C23,一線!$A:$C,3,0)</f>
        <v>林佳正679060</v>
      </c>
      <c r="F23" s="9" t="e">
        <f>VLOOKUP(D23,二線!$A:$C,3,0)</f>
        <v>#N/A</v>
      </c>
    </row>
    <row r="24" spans="1:6" ht="15.75" customHeight="1">
      <c r="A24" s="8">
        <v>46288</v>
      </c>
      <c r="B24" s="6" t="str">
        <f t="shared" si="0"/>
        <v>星期三</v>
      </c>
      <c r="C24" s="6"/>
      <c r="D24" s="6"/>
      <c r="E24" s="7" t="e">
        <f>VLOOKUP(C24,一線!$A:$C,3,0)</f>
        <v>#N/A</v>
      </c>
      <c r="F24" s="9" t="e">
        <f>VLOOKUP(D24,二線!$A:$C,3,0)</f>
        <v>#N/A</v>
      </c>
    </row>
    <row r="25" spans="1:6" ht="15.75" customHeight="1">
      <c r="A25" s="8">
        <v>46289</v>
      </c>
      <c r="B25" s="10" t="str">
        <f t="shared" si="0"/>
        <v>星期四</v>
      </c>
      <c r="C25" s="6"/>
      <c r="D25" s="6"/>
      <c r="E25" s="7" t="e">
        <f>VLOOKUP(C25,一線!$A:$C,3,0)</f>
        <v>#N/A</v>
      </c>
      <c r="F25" s="9" t="e">
        <f>VLOOKUP(D25,二線!$A:$C,3,0)</f>
        <v>#N/A</v>
      </c>
    </row>
    <row r="26" spans="1:6" ht="15.75" customHeight="1">
      <c r="A26" s="8">
        <v>46290</v>
      </c>
      <c r="B26" s="6" t="str">
        <f t="shared" si="0"/>
        <v>星期五</v>
      </c>
      <c r="C26" s="6" t="s">
        <v>26</v>
      </c>
      <c r="D26" s="6"/>
      <c r="E26" s="7" t="str">
        <f>VLOOKUP(C26,一線!$A:$C,3,0)</f>
        <v>李昱呈678977</v>
      </c>
      <c r="F26" s="9" t="e">
        <f>VLOOKUP(D26,二線!$A:$C,3,0)</f>
        <v>#N/A</v>
      </c>
    </row>
    <row r="27" spans="1:6" ht="15.75" customHeight="1">
      <c r="A27" s="8">
        <v>46291</v>
      </c>
      <c r="B27" s="6" t="str">
        <f t="shared" si="0"/>
        <v>星期六</v>
      </c>
      <c r="C27" s="6" t="s">
        <v>67</v>
      </c>
      <c r="D27" s="6"/>
      <c r="E27" s="7" t="str">
        <f>VLOOKUP(C27,一線!$A:$C,3,0)</f>
        <v>李毓珊678910</v>
      </c>
      <c r="F27" s="9" t="e">
        <f>VLOOKUP(D27,二線!$A:$C,3,0)</f>
        <v>#N/A</v>
      </c>
    </row>
    <row r="28" spans="1:6" ht="15.75" customHeight="1">
      <c r="A28" s="8">
        <v>46292</v>
      </c>
      <c r="B28" s="6" t="str">
        <f t="shared" si="0"/>
        <v>星期日</v>
      </c>
      <c r="C28" s="6"/>
      <c r="D28" s="6"/>
      <c r="E28" s="7" t="e">
        <f>VLOOKUP(C28,一線!$A:$C,3,0)</f>
        <v>#N/A</v>
      </c>
      <c r="F28" s="9" t="e">
        <f>VLOOKUP(D28,二線!$A:$C,3,0)</f>
        <v>#N/A</v>
      </c>
    </row>
    <row r="29" spans="1:6" ht="15.75" customHeight="1">
      <c r="A29" s="8">
        <v>46293</v>
      </c>
      <c r="B29" s="6" t="str">
        <f t="shared" si="0"/>
        <v>星期一</v>
      </c>
      <c r="C29" s="6"/>
      <c r="D29" s="6"/>
      <c r="E29" s="7" t="e">
        <f>VLOOKUP(C29,一線!$A:$C,3,0)</f>
        <v>#N/A</v>
      </c>
      <c r="F29" s="9" t="e">
        <f>VLOOKUP(D29,二線!$A:$C,3,0)</f>
        <v>#N/A</v>
      </c>
    </row>
    <row r="30" spans="1:6" ht="15.75" customHeight="1">
      <c r="A30" s="8">
        <v>46294</v>
      </c>
      <c r="B30" s="6" t="str">
        <f t="shared" si="0"/>
        <v>星期二</v>
      </c>
      <c r="C30" s="6"/>
      <c r="D30" s="6" t="s">
        <v>22</v>
      </c>
      <c r="E30" s="7" t="e">
        <f>VLOOKUP(C30,一線!$A:$C,3,0)</f>
        <v>#N/A</v>
      </c>
      <c r="F30" s="9" t="str">
        <f>VLOOKUP(D30,二線!$A:$C,3,0)</f>
        <v>林中華678932</v>
      </c>
    </row>
    <row r="31" spans="1:6" ht="15.75" customHeight="1">
      <c r="A31" s="8">
        <v>46295</v>
      </c>
      <c r="B31" s="6" t="str">
        <f t="shared" si="0"/>
        <v>星期三</v>
      </c>
      <c r="C31" s="10"/>
      <c r="D31" s="6"/>
      <c r="E31" s="7" t="e">
        <f>VLOOKUP(C31,一線!$A:$C,3,0)</f>
        <v>#N/A</v>
      </c>
      <c r="F31" s="9" t="e">
        <f>VLOOKUP(D31,二線!$A:$C,3,0)</f>
        <v>#N/A</v>
      </c>
    </row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31" xr:uid="{00000000-0009-0000-0000-000000000000}"/>
  <phoneticPr fontId="10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醫師總表</vt:lpstr>
      <vt:lpstr>一線</vt:lpstr>
      <vt:lpstr>二線</vt:lpstr>
      <vt:lpstr>115年9月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琇雯 張</dc:creator>
  <cp:lastModifiedBy>琇雯 張</cp:lastModifiedBy>
  <dcterms:created xsi:type="dcterms:W3CDTF">2026-08-05T11:27:10Z</dcterms:created>
  <dcterms:modified xsi:type="dcterms:W3CDTF">2026-08-06T16:38:29Z</dcterms:modified>
</cp:coreProperties>
</file>